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hwet\OneDrive - Sacred Heart University\MSBA-2023-24\Sem2(Jan-March2024)\BUAN-675-A-GlobalSupplyChainAnalytics\Class5th-Feb10th2024PPT\GroupPPT-10FEB2024\"/>
    </mc:Choice>
  </mc:AlternateContent>
  <xr:revisionPtr revIDLastSave="0" documentId="13_ncr:1_{38B51662-61EC-49EE-BD13-60558F2F27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9" i="1" l="1"/>
  <c r="M30" i="1" s="1"/>
  <c r="L29" i="1"/>
  <c r="L30" i="1" s="1"/>
  <c r="K29" i="1"/>
  <c r="K30" i="1" s="1"/>
  <c r="J29" i="1"/>
  <c r="J30" i="1" s="1"/>
  <c r="M25" i="1"/>
  <c r="L25" i="1"/>
  <c r="K25" i="1"/>
  <c r="J25" i="1"/>
  <c r="M21" i="1"/>
  <c r="L21" i="1"/>
  <c r="K21" i="1"/>
  <c r="J21" i="1"/>
</calcChain>
</file>

<file path=xl/sharedStrings.xml><?xml version="1.0" encoding="utf-8"?>
<sst xmlns="http://schemas.openxmlformats.org/spreadsheetml/2006/main" count="81" uniqueCount="32">
  <si>
    <t>Financial stat. For Target, Wallmart, Walgreens and CVS 
For last 4 years</t>
  </si>
  <si>
    <t>DIO =Days Inventory Outstanding Formula 
DIO = Average Inventory / (Cost of Goods Sold  *Number of Days)</t>
  </si>
  <si>
    <t>DSO= Days Sales Outstanding
DSO = Average Accounts Receivable / (Total Credit Revenue  * Number of Days)</t>
  </si>
  <si>
    <t>DPO= Days Payables Outstanding
DPO = Average Accounts Payable / (Total Credit Purchases / Number of Days)</t>
  </si>
  <si>
    <t>CCC- Cash Conversion Cycle
CCC = DIO + DSO -  DPO</t>
  </si>
  <si>
    <r>
      <rPr>
        <sz val="11"/>
        <color rgb="FF000000"/>
        <rFont val="Calibri, sans-serif"/>
      </rPr>
      <t xml:space="preserve">The financial data of All companies have been collected from WallStreet Journal -
Reference- </t>
    </r>
    <r>
      <rPr>
        <u/>
        <sz val="11"/>
        <color rgb="FF1155CC"/>
        <rFont val="Calibri, sans-serif"/>
      </rPr>
      <t>https://www.wsj.com/market-data/quotes/WMT/financials/annual/income-statement</t>
    </r>
    <r>
      <rPr>
        <sz val="11"/>
        <color rgb="FF000000"/>
        <rFont val="Calibri, sans-serif"/>
      </rPr>
      <t xml:space="preserve"> 
</t>
    </r>
  </si>
  <si>
    <t>Financials --&gt; Income Statement --&gt; COGS
Financials --&gt; Income Statement --&gt; Total Revenue</t>
  </si>
  <si>
    <t xml:space="preserve">Financials--&gt;Balance Sheet--&gt;Inventory
Financials--&gt;Balance Sheet--&gt; Account Receivable
Financials--&gt;Balance Sheet--&gt; 
Under Liabilities$ShareHolders Equities --&gt; Accounts Payable
</t>
  </si>
  <si>
    <t>Target (Wallstreet Journal)</t>
  </si>
  <si>
    <t>CVS(Wallstreet Journal)</t>
  </si>
  <si>
    <t>Walgreens Boots alliance(walstreet journal)</t>
  </si>
  <si>
    <t>Walmart (Wallstreet Journal)</t>
  </si>
  <si>
    <t>Inventory</t>
  </si>
  <si>
    <t>COGS</t>
  </si>
  <si>
    <t>DIO</t>
  </si>
  <si>
    <t>ACC Receivable</t>
  </si>
  <si>
    <t>ACC Receivables</t>
  </si>
  <si>
    <t>Total Revenue</t>
  </si>
  <si>
    <t>1,06,005</t>
  </si>
  <si>
    <t>DSO</t>
  </si>
  <si>
    <t>ACC Payable</t>
  </si>
  <si>
    <t>ACC payable</t>
  </si>
  <si>
    <t>COGS/365</t>
  </si>
  <si>
    <t>DPO</t>
  </si>
  <si>
    <r>
      <rPr>
        <b/>
        <sz val="12"/>
        <color rgb="FF000000"/>
        <rFont val="Calibri, sans-serif"/>
      </rPr>
      <t xml:space="preserve">CCC
</t>
    </r>
    <r>
      <rPr>
        <b/>
        <sz val="10"/>
        <color rgb="FF000000"/>
        <rFont val="Calibri, sans-serif"/>
      </rPr>
      <t>CCC= DIO + DSO - DPO</t>
    </r>
  </si>
  <si>
    <t>ccc</t>
  </si>
  <si>
    <t>Column1</t>
  </si>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</sst>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#,##0.0"/>
  </numFmts>
  <fonts count="23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0"/>
      <color theme="1"/>
      <name val="Arial"/>
      <scheme val="minor"/>
    </font>
    <font>
      <u/>
      <sz val="11"/>
      <color rgb="FF000000"/>
      <name val="Calibri"/>
    </font>
    <font>
      <b/>
      <sz val="10"/>
      <color theme="1"/>
      <name val="Arial"/>
      <scheme val="minor"/>
    </font>
    <font>
      <b/>
      <sz val="11"/>
      <color theme="1"/>
      <name val="Calibri"/>
    </font>
    <font>
      <b/>
      <sz val="12"/>
      <color rgb="FF000000"/>
      <name val="Calibri"/>
    </font>
    <font>
      <sz val="11"/>
      <color theme="1"/>
      <name val="Calibri"/>
    </font>
    <font>
      <sz val="11"/>
      <color theme="1"/>
      <name val="Retina"/>
    </font>
    <font>
      <b/>
      <sz val="10"/>
      <color theme="1"/>
      <name val="Arial"/>
    </font>
    <font>
      <sz val="11"/>
      <color rgb="FF232A31"/>
      <name val="Calibri"/>
    </font>
    <font>
      <sz val="11"/>
      <color rgb="FF000000"/>
      <name val="Retina"/>
    </font>
    <font>
      <sz val="11"/>
      <color rgb="FF111827"/>
      <name val="Calibri"/>
    </font>
    <font>
      <sz val="11"/>
      <color rgb="FF111827"/>
      <name val="Ui-sans-serif"/>
    </font>
    <font>
      <sz val="10"/>
      <color theme="1"/>
      <name val="Calibri"/>
    </font>
    <font>
      <b/>
      <sz val="12"/>
      <color theme="1"/>
      <name val="Calibri"/>
    </font>
    <font>
      <sz val="10"/>
      <color theme="1"/>
      <name val="Arial"/>
    </font>
    <font>
      <sz val="11"/>
      <color rgb="FF000000"/>
      <name val="Calibri, sans-serif"/>
    </font>
    <font>
      <u/>
      <sz val="11"/>
      <color rgb="FF1155CC"/>
      <name val="Calibri, sans-serif"/>
    </font>
    <font>
      <b/>
      <sz val="12"/>
      <color rgb="FF000000"/>
      <name val="Calibri, sans-serif"/>
    </font>
    <font>
      <b/>
      <sz val="10"/>
      <color rgb="FF000000"/>
      <name val="Calibri, sans-serif"/>
    </font>
    <font>
      <sz val="8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theme="0"/>
        <bgColor theme="0"/>
      </patternFill>
    </fill>
    <fill>
      <patternFill patternType="solid">
        <fgColor rgb="FFF2F9FF"/>
        <bgColor rgb="FFF2F9FF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E5E5E5"/>
      </right>
      <top/>
      <bottom/>
      <diagonal/>
    </border>
    <border>
      <left/>
      <right style="thin">
        <color rgb="FF000000"/>
      </right>
      <top/>
      <bottom style="thin">
        <color rgb="FFE5E5E5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2" fillId="3" borderId="0" xfId="0" applyFont="1" applyFill="1"/>
    <xf numFmtId="0" fontId="3" fillId="3" borderId="0" xfId="0" applyFont="1" applyFill="1"/>
    <xf numFmtId="0" fontId="2" fillId="4" borderId="0" xfId="0" applyFont="1" applyFill="1"/>
    <xf numFmtId="0" fontId="3" fillId="4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right"/>
    </xf>
    <xf numFmtId="0" fontId="7" fillId="0" borderId="0" xfId="0" applyFont="1"/>
    <xf numFmtId="3" fontId="2" fillId="0" borderId="0" xfId="0" applyNumberFormat="1" applyFont="1" applyAlignment="1">
      <alignment horizontal="right"/>
    </xf>
    <xf numFmtId="3" fontId="2" fillId="0" borderId="0" xfId="0" applyNumberFormat="1" applyFont="1"/>
    <xf numFmtId="3" fontId="8" fillId="0" borderId="0" xfId="0" applyNumberFormat="1" applyFont="1" applyAlignment="1">
      <alignment horizontal="right"/>
    </xf>
    <xf numFmtId="3" fontId="8" fillId="0" borderId="1" xfId="0" applyNumberFormat="1" applyFont="1" applyBorder="1" applyAlignment="1">
      <alignment horizontal="right"/>
    </xf>
    <xf numFmtId="3" fontId="8" fillId="0" borderId="2" xfId="0" applyNumberFormat="1" applyFont="1" applyBorder="1" applyAlignment="1">
      <alignment horizontal="right"/>
    </xf>
    <xf numFmtId="3" fontId="8" fillId="0" borderId="0" xfId="0" applyNumberFormat="1" applyFont="1"/>
    <xf numFmtId="3" fontId="3" fillId="0" borderId="0" xfId="0" applyNumberFormat="1" applyFont="1"/>
    <xf numFmtId="3" fontId="8" fillId="0" borderId="3" xfId="0" applyNumberFormat="1" applyFont="1" applyBorder="1" applyAlignment="1">
      <alignment horizontal="right"/>
    </xf>
    <xf numFmtId="3" fontId="9" fillId="0" borderId="2" xfId="0" applyNumberFormat="1" applyFont="1" applyBorder="1" applyAlignment="1">
      <alignment horizontal="right"/>
    </xf>
    <xf numFmtId="0" fontId="7" fillId="0" borderId="0" xfId="0" applyFont="1" applyAlignment="1">
      <alignment horizontal="right"/>
    </xf>
    <xf numFmtId="164" fontId="2" fillId="0" borderId="0" xfId="0" applyNumberFormat="1" applyFont="1"/>
    <xf numFmtId="164" fontId="8" fillId="0" borderId="3" xfId="0" applyNumberFormat="1" applyFont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right"/>
    </xf>
    <xf numFmtId="0" fontId="8" fillId="0" borderId="0" xfId="0" applyFont="1"/>
    <xf numFmtId="0" fontId="3" fillId="0" borderId="0" xfId="0" applyFont="1"/>
    <xf numFmtId="164" fontId="10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3" fontId="8" fillId="0" borderId="4" xfId="0" applyNumberFormat="1" applyFont="1" applyBorder="1" applyAlignment="1">
      <alignment horizontal="right"/>
    </xf>
    <xf numFmtId="3" fontId="8" fillId="0" borderId="5" xfId="0" applyNumberFormat="1" applyFont="1" applyBorder="1" applyAlignment="1">
      <alignment horizontal="right"/>
    </xf>
    <xf numFmtId="3" fontId="11" fillId="5" borderId="0" xfId="0" applyNumberFormat="1" applyFont="1" applyFill="1" applyAlignment="1">
      <alignment horizontal="center"/>
    </xf>
    <xf numFmtId="3" fontId="12" fillId="0" borderId="0" xfId="0" applyNumberFormat="1" applyFont="1" applyAlignment="1">
      <alignment horizontal="right"/>
    </xf>
    <xf numFmtId="3" fontId="13" fillId="6" borderId="3" xfId="0" applyNumberFormat="1" applyFont="1" applyFill="1" applyBorder="1" applyAlignment="1">
      <alignment horizontal="right"/>
    </xf>
    <xf numFmtId="3" fontId="14" fillId="6" borderId="3" xfId="0" applyNumberFormat="1" applyFont="1" applyFill="1" applyBorder="1" applyAlignment="1">
      <alignment horizontal="right"/>
    </xf>
    <xf numFmtId="3" fontId="14" fillId="6" borderId="2" xfId="0" applyNumberFormat="1" applyFont="1" applyFill="1" applyBorder="1" applyAlignment="1">
      <alignment horizontal="right"/>
    </xf>
    <xf numFmtId="3" fontId="15" fillId="0" borderId="0" xfId="0" applyNumberFormat="1" applyFont="1"/>
    <xf numFmtId="3" fontId="13" fillId="6" borderId="0" xfId="0" applyNumberFormat="1" applyFont="1" applyFill="1" applyAlignment="1">
      <alignment horizontal="right"/>
    </xf>
    <xf numFmtId="3" fontId="13" fillId="6" borderId="1" xfId="0" applyNumberFormat="1" applyFont="1" applyFill="1" applyBorder="1" applyAlignment="1">
      <alignment horizontal="right"/>
    </xf>
    <xf numFmtId="3" fontId="13" fillId="6" borderId="2" xfId="0" applyNumberFormat="1" applyFont="1" applyFill="1" applyBorder="1" applyAlignment="1">
      <alignment horizontal="right"/>
    </xf>
    <xf numFmtId="165" fontId="2" fillId="0" borderId="0" xfId="0" applyNumberFormat="1" applyFont="1" applyAlignment="1">
      <alignment horizontal="right"/>
    </xf>
    <xf numFmtId="166" fontId="8" fillId="0" borderId="3" xfId="0" applyNumberFormat="1" applyFont="1" applyBorder="1" applyAlignment="1">
      <alignment horizontal="center"/>
    </xf>
    <xf numFmtId="166" fontId="8" fillId="0" borderId="2" xfId="0" applyNumberFormat="1" applyFont="1" applyBorder="1" applyAlignment="1">
      <alignment horizontal="center"/>
    </xf>
    <xf numFmtId="4" fontId="8" fillId="0" borderId="0" xfId="0" applyNumberFormat="1" applyFont="1"/>
    <xf numFmtId="0" fontId="7" fillId="7" borderId="0" xfId="0" applyFont="1" applyFill="1" applyAlignment="1">
      <alignment horizontal="center"/>
    </xf>
    <xf numFmtId="0" fontId="2" fillId="7" borderId="0" xfId="0" applyFont="1" applyFill="1"/>
    <xf numFmtId="0" fontId="3" fillId="7" borderId="0" xfId="0" applyFont="1" applyFill="1"/>
    <xf numFmtId="0" fontId="16" fillId="7" borderId="0" xfId="0" applyFont="1" applyFill="1" applyAlignment="1">
      <alignment horizontal="center"/>
    </xf>
    <xf numFmtId="0" fontId="8" fillId="7" borderId="0" xfId="0" applyFont="1" applyFill="1"/>
    <xf numFmtId="0" fontId="17" fillId="0" borderId="3" xfId="0" applyFont="1" applyBorder="1"/>
    <xf numFmtId="0" fontId="10" fillId="0" borderId="3" xfId="0" applyFont="1" applyBorder="1" applyAlignment="1">
      <alignment horizontal="center"/>
    </xf>
    <xf numFmtId="0" fontId="17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076513-7F44-4882-ACD1-A683ABD295C8}" name="Table2" displayName="Table2" ref="V16:AA32" totalsRowShown="0">
  <autoFilter ref="V16:AA32" xr:uid="{66076513-7F44-4882-ACD1-A683ABD295C8}"/>
  <tableColumns count="6">
    <tableColumn id="1" xr3:uid="{8ACAC016-B6FB-418A-8972-07488CA7D187}" name="Column1"/>
    <tableColumn id="2" xr3:uid="{4E8A6969-632A-4AF8-9362-AB8BEECAA84D}" name="Column2"/>
    <tableColumn id="3" xr3:uid="{2CFC6379-9AF7-4E6B-8661-650B1CEA12A5}" name="Column3"/>
    <tableColumn id="4" xr3:uid="{C2943634-73EB-4CD1-8A68-C90023E64DC4}" name="Column4"/>
    <tableColumn id="5" xr3:uid="{0B40F3DC-E44F-4F10-95CC-3655F4B79B0B}" name="Column5"/>
    <tableColumn id="6" xr3:uid="{9E76899C-02DD-4BEE-B1D6-2D46A5A601F9}" name="Column6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6BFF80-F74B-4106-BF35-7696A5F03349}" name="Table3" displayName="Table3" ref="O16:T32" totalsRowShown="0" headerRowDxfId="9" dataDxfId="10">
  <autoFilter ref="O16:T32" xr:uid="{BB6BFF80-F74B-4106-BF35-7696A5F03349}"/>
  <tableColumns count="6">
    <tableColumn id="1" xr3:uid="{58194709-AED5-4074-A76B-1E77DF3EFC02}" name="Column1"/>
    <tableColumn id="2" xr3:uid="{A9B4B25D-6B48-4D45-89D5-67F7AE320405}" name="Column2" dataDxfId="15"/>
    <tableColumn id="3" xr3:uid="{D4753A2D-664A-4265-AFA8-6F2B8070C28C}" name="Column3" dataDxfId="14"/>
    <tableColumn id="4" xr3:uid="{13A31D0A-23C0-4F07-A0C8-7E75A25D6A94}" name="Column4" dataDxfId="13"/>
    <tableColumn id="5" xr3:uid="{0638F745-B337-48A2-B071-5E03DFEDF5EF}" name="Column5" dataDxfId="12"/>
    <tableColumn id="6" xr3:uid="{0A6229DE-F43E-4A82-8D4A-9F26E836FE5B}" name="Column6" dataDxfId="11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7A8A1E-58C8-4DAF-A38A-8658306D44D4}" name="Table4" displayName="Table4" ref="H16:M33" totalsRowShown="0" headerRowDxfId="7">
  <autoFilter ref="H16:M33" xr:uid="{7B7A8A1E-58C8-4DAF-A38A-8658306D44D4}"/>
  <tableColumns count="6">
    <tableColumn id="1" xr3:uid="{6527883B-C6C1-4BB9-8358-6EC7486FF5E4}" name="Column1"/>
    <tableColumn id="2" xr3:uid="{6BA6693C-17EA-4C67-A95B-984734828069}" name="Column2" dataDxfId="8"/>
    <tableColumn id="3" xr3:uid="{2DD0ED7D-9D2A-48CB-93F5-08E33574C459}" name="Column3"/>
    <tableColumn id="4" xr3:uid="{0878E2DB-5AA2-4B0C-80EF-1927D43B0F91}" name="Column4"/>
    <tableColumn id="5" xr3:uid="{7C84CA40-8AA7-4419-8B34-267C0FB4C597}" name="Column5"/>
    <tableColumn id="6" xr3:uid="{DE30939A-3CE9-4E87-8486-E295D94E41AE}" name="Column6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1E95D04-BC1B-43A1-86CD-6C6E1879C163}" name="Table5" displayName="Table5" ref="A16:F33" totalsRowShown="0" headerRowDxfId="0" dataDxfId="1">
  <autoFilter ref="A16:F33" xr:uid="{A1E95D04-BC1B-43A1-86CD-6C6E1879C163}"/>
  <tableColumns count="6">
    <tableColumn id="1" xr3:uid="{23DE1986-FF85-4AF3-AF4B-3F942ED4594D}" name="Column1"/>
    <tableColumn id="2" xr3:uid="{BE171906-F185-4B8E-B83D-FFA914148478}" name="Column2" dataDxfId="6"/>
    <tableColumn id="3" xr3:uid="{1073EF5D-8C70-4004-8E2C-476D3D740CBC}" name="Column3" dataDxfId="5"/>
    <tableColumn id="4" xr3:uid="{BCDB3C43-8EDA-4025-A257-3948D02D8CCF}" name="Column4" dataDxfId="4"/>
    <tableColumn id="5" xr3:uid="{2731807E-AED9-4600-A190-694671DE3E4F}" name="Column5" dataDxfId="3"/>
    <tableColumn id="6" xr3:uid="{BF9FAEFE-A32F-4627-A1C6-99E75EE337AD}" name="Column6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https://www.wsj.com/market-data/quotes/WMT/financials/annual/income-statement" TargetMode="Externa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35"/>
  <sheetViews>
    <sheetView tabSelected="1" workbookViewId="0">
      <selection activeCell="F29" sqref="F29"/>
    </sheetView>
  </sheetViews>
  <sheetFormatPr defaultColWidth="12.6640625" defaultRowHeight="15.75" customHeight="1"/>
  <cols>
    <col min="1" max="1" width="33.109375" customWidth="1"/>
    <col min="2" max="2" width="15.44140625" customWidth="1"/>
    <col min="3" max="3" width="17.109375" customWidth="1"/>
    <col min="4" max="4" width="14.109375" customWidth="1"/>
    <col min="5" max="5" width="13.21875" customWidth="1"/>
    <col min="6" max="6" width="13.6640625" customWidth="1"/>
    <col min="8" max="8" width="14.109375" customWidth="1"/>
    <col min="15" max="15" width="14.109375" customWidth="1"/>
    <col min="21" max="21" width="15.109375" customWidth="1"/>
    <col min="22" max="22" width="14.109375" customWidth="1"/>
    <col min="23" max="23" width="15.88671875" customWidth="1"/>
    <col min="24" max="24" width="15.21875" customWidth="1"/>
    <col min="25" max="25" width="14.6640625" customWidth="1"/>
  </cols>
  <sheetData>
    <row r="1" spans="1:27" ht="33" customHeight="1"/>
    <row r="2" spans="1:27" ht="36.75" customHeight="1">
      <c r="A2" s="55" t="s">
        <v>0</v>
      </c>
      <c r="B2" s="56"/>
      <c r="C2" s="56"/>
      <c r="D2" s="55"/>
      <c r="E2" s="56"/>
      <c r="F2" s="56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7" ht="33.75" customHeight="1">
      <c r="A3" s="3" t="s">
        <v>1</v>
      </c>
      <c r="B3" s="3"/>
      <c r="C3" s="3"/>
      <c r="D3" s="3"/>
      <c r="E3" s="3"/>
      <c r="F3" s="3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7" ht="18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5"/>
      <c r="V4" s="5"/>
      <c r="W4" s="5"/>
      <c r="X4" s="5"/>
      <c r="Y4" s="5"/>
      <c r="Z4" s="5"/>
      <c r="AA4" s="5"/>
    </row>
    <row r="5" spans="1:27" ht="43.5" customHeight="1">
      <c r="A5" s="3" t="s">
        <v>2</v>
      </c>
      <c r="B5" s="3"/>
      <c r="C5" s="3"/>
      <c r="D5" s="3"/>
      <c r="E5" s="3"/>
      <c r="F5" s="3"/>
      <c r="G5" s="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7" ht="20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  <c r="V6" s="7"/>
      <c r="W6" s="7"/>
      <c r="X6" s="7"/>
      <c r="Y6" s="7"/>
      <c r="Z6" s="7"/>
      <c r="AA6" s="7"/>
    </row>
    <row r="7" spans="1:27" ht="38.25" customHeight="1">
      <c r="A7" s="3" t="s">
        <v>3</v>
      </c>
      <c r="B7" s="3"/>
      <c r="C7" s="3"/>
      <c r="D7" s="3"/>
      <c r="E7" s="3"/>
      <c r="F7" s="3"/>
      <c r="G7" s="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7" ht="15.75" customHeight="1">
      <c r="A8" s="3"/>
      <c r="B8" s="3"/>
      <c r="C8" s="1"/>
      <c r="D8" s="3"/>
      <c r="E8" s="3"/>
      <c r="F8" s="3"/>
      <c r="G8" s="2"/>
      <c r="H8" s="3"/>
      <c r="I8" s="3"/>
      <c r="J8" s="3"/>
      <c r="K8" s="1"/>
      <c r="L8" s="3"/>
      <c r="M8" s="3"/>
      <c r="N8" s="3"/>
      <c r="O8" s="3"/>
      <c r="P8" s="3"/>
      <c r="Q8" s="3"/>
      <c r="R8" s="1"/>
      <c r="S8" s="3"/>
      <c r="T8" s="3"/>
    </row>
    <row r="9" spans="1:27" ht="41.25" customHeight="1">
      <c r="A9" s="3" t="s">
        <v>4</v>
      </c>
      <c r="B9" s="3"/>
      <c r="C9" s="1"/>
      <c r="D9" s="3"/>
      <c r="E9" s="3"/>
      <c r="F9" s="3"/>
      <c r="G9" s="2"/>
      <c r="H9" s="3"/>
      <c r="I9" s="3"/>
      <c r="J9" s="3"/>
      <c r="K9" s="1"/>
      <c r="L9" s="3"/>
      <c r="M9" s="3"/>
      <c r="N9" s="3"/>
      <c r="O9" s="3"/>
      <c r="P9" s="3"/>
      <c r="Q9" s="3"/>
      <c r="R9" s="1"/>
      <c r="S9" s="3"/>
      <c r="T9" s="3"/>
    </row>
    <row r="10" spans="1:27" ht="33" customHeight="1">
      <c r="A10" s="3"/>
      <c r="B10" s="3"/>
      <c r="C10" s="1"/>
      <c r="D10" s="3"/>
      <c r="E10" s="3"/>
      <c r="F10" s="3"/>
      <c r="G10" s="2"/>
      <c r="H10" s="3"/>
      <c r="I10" s="3"/>
      <c r="J10" s="3"/>
      <c r="K10" s="1"/>
      <c r="L10" s="3"/>
      <c r="M10" s="3"/>
      <c r="N10" s="3"/>
      <c r="O10" s="3"/>
      <c r="P10" s="3"/>
      <c r="Q10" s="3"/>
      <c r="R10" s="1"/>
      <c r="S10" s="3"/>
      <c r="T10" s="3"/>
    </row>
    <row r="11" spans="1:27" ht="52.8" customHeight="1">
      <c r="A11" s="8" t="s">
        <v>5</v>
      </c>
      <c r="B11" s="3"/>
      <c r="C11" s="1"/>
      <c r="D11" s="3"/>
      <c r="E11" s="3"/>
      <c r="F11" s="3"/>
      <c r="G11" s="2"/>
      <c r="H11" s="3"/>
      <c r="I11" s="3"/>
      <c r="J11" s="3"/>
      <c r="K11" s="1"/>
      <c r="L11" s="3"/>
      <c r="M11" s="3"/>
      <c r="N11" s="3"/>
      <c r="O11" s="3"/>
      <c r="P11" s="3"/>
      <c r="Q11" s="3"/>
      <c r="R11" s="1"/>
      <c r="S11" s="3"/>
      <c r="T11" s="3"/>
    </row>
    <row r="12" spans="1:27" ht="51" customHeight="1">
      <c r="A12" s="54" t="s">
        <v>6</v>
      </c>
      <c r="B12" s="3"/>
      <c r="C12" s="1"/>
      <c r="D12" s="3"/>
      <c r="E12" s="3"/>
      <c r="F12" s="3"/>
      <c r="G12" s="2"/>
      <c r="H12" s="3"/>
      <c r="I12" s="3"/>
      <c r="J12" s="3"/>
      <c r="K12" s="1"/>
      <c r="L12" s="3"/>
      <c r="M12" s="3"/>
      <c r="N12" s="3"/>
      <c r="O12" s="3"/>
      <c r="P12" s="3"/>
      <c r="Q12" s="3"/>
      <c r="R12" s="1"/>
      <c r="S12" s="3"/>
      <c r="T12" s="3"/>
    </row>
    <row r="13" spans="1:27" ht="61.5" customHeight="1">
      <c r="A13" s="54" t="s">
        <v>7</v>
      </c>
      <c r="B13" s="3"/>
      <c r="C13" s="1"/>
      <c r="D13" s="3"/>
      <c r="E13" s="3"/>
      <c r="F13" s="3"/>
      <c r="G13" s="2"/>
      <c r="H13" s="3"/>
      <c r="I13" s="3"/>
      <c r="J13" s="3"/>
      <c r="K13" s="1"/>
      <c r="L13" s="3"/>
      <c r="M13" s="3"/>
      <c r="N13" s="3"/>
      <c r="O13" s="3"/>
      <c r="P13" s="3"/>
      <c r="Q13" s="3"/>
      <c r="R13" s="1"/>
      <c r="S13" s="3"/>
      <c r="T13" s="3"/>
    </row>
    <row r="14" spans="1:27" ht="33.75" customHeight="1">
      <c r="A14" s="3"/>
      <c r="B14" s="3"/>
      <c r="C14" s="1"/>
      <c r="D14" s="3"/>
      <c r="E14" s="3"/>
      <c r="F14" s="3"/>
      <c r="G14" s="2"/>
      <c r="H14" s="3"/>
      <c r="I14" s="3"/>
      <c r="J14" s="3"/>
      <c r="K14" s="1"/>
      <c r="L14" s="3"/>
      <c r="M14" s="3"/>
      <c r="N14" s="3"/>
      <c r="O14" s="3"/>
      <c r="P14" s="3"/>
      <c r="Q14" s="3"/>
      <c r="R14" s="1"/>
      <c r="S14" s="3"/>
      <c r="T14" s="3"/>
    </row>
    <row r="15" spans="1:27" ht="33.75" customHeight="1">
      <c r="A15" s="3"/>
      <c r="B15" s="3"/>
      <c r="C15" s="1"/>
      <c r="D15" s="3"/>
      <c r="E15" s="3"/>
      <c r="F15" s="3"/>
      <c r="G15" s="2"/>
      <c r="H15" s="3"/>
      <c r="I15" s="3"/>
      <c r="J15" s="3"/>
      <c r="K15" s="1"/>
      <c r="L15" s="3"/>
      <c r="M15" s="3"/>
      <c r="N15" s="3"/>
      <c r="O15" s="3"/>
      <c r="P15" s="3"/>
      <c r="Q15" s="3"/>
      <c r="R15" s="1"/>
      <c r="S15" s="3"/>
      <c r="T15" s="3"/>
    </row>
    <row r="16" spans="1:27" ht="24.75" customHeight="1">
      <c r="A16" s="3" t="s">
        <v>26</v>
      </c>
      <c r="B16" s="3" t="s">
        <v>27</v>
      </c>
      <c r="C16" s="1" t="s">
        <v>28</v>
      </c>
      <c r="D16" s="3" t="s">
        <v>29</v>
      </c>
      <c r="E16" s="3" t="s">
        <v>30</v>
      </c>
      <c r="F16" s="3" t="s">
        <v>31</v>
      </c>
      <c r="G16" s="2"/>
      <c r="H16" s="3" t="s">
        <v>26</v>
      </c>
      <c r="I16" s="3" t="s">
        <v>27</v>
      </c>
      <c r="J16" s="3" t="s">
        <v>28</v>
      </c>
      <c r="K16" s="1" t="s">
        <v>29</v>
      </c>
      <c r="L16" s="3" t="s">
        <v>30</v>
      </c>
      <c r="M16" s="3" t="s">
        <v>31</v>
      </c>
      <c r="N16" s="3"/>
      <c r="O16" s="3" t="s">
        <v>26</v>
      </c>
      <c r="P16" s="3" t="s">
        <v>27</v>
      </c>
      <c r="Q16" s="3" t="s">
        <v>28</v>
      </c>
      <c r="R16" s="1" t="s">
        <v>29</v>
      </c>
      <c r="S16" s="3" t="s">
        <v>30</v>
      </c>
      <c r="T16" s="3" t="s">
        <v>31</v>
      </c>
      <c r="V16" t="s">
        <v>26</v>
      </c>
      <c r="W16" s="9" t="s">
        <v>27</v>
      </c>
      <c r="X16" s="10" t="s">
        <v>28</v>
      </c>
      <c r="Y16" t="s">
        <v>29</v>
      </c>
      <c r="Z16" t="s">
        <v>30</v>
      </c>
      <c r="AA16" t="s">
        <v>31</v>
      </c>
    </row>
    <row r="17" spans="1:27" ht="20.25" customHeight="1">
      <c r="A17" s="3"/>
      <c r="B17" s="3"/>
      <c r="C17" s="1" t="s">
        <v>8</v>
      </c>
      <c r="D17" s="3"/>
      <c r="E17" s="3"/>
      <c r="F17" s="3"/>
      <c r="G17" s="2"/>
      <c r="H17" s="3"/>
      <c r="I17" s="3"/>
      <c r="J17" s="3"/>
      <c r="K17" s="1" t="s">
        <v>9</v>
      </c>
      <c r="L17" s="3"/>
      <c r="M17" s="3"/>
      <c r="N17" s="3"/>
      <c r="O17" s="3"/>
      <c r="P17" s="3"/>
      <c r="Q17" s="3"/>
      <c r="R17" s="1" t="s">
        <v>10</v>
      </c>
      <c r="S17" s="3"/>
      <c r="T17" s="3"/>
      <c r="W17" s="9"/>
      <c r="X17" s="10" t="s">
        <v>11</v>
      </c>
    </row>
    <row r="18" spans="1:27" ht="21.75" customHeight="1">
      <c r="A18" s="3"/>
      <c r="B18" s="11"/>
      <c r="C18" s="11">
        <v>2022</v>
      </c>
      <c r="D18" s="11">
        <v>2021</v>
      </c>
      <c r="E18" s="11">
        <v>2020</v>
      </c>
      <c r="F18" s="11">
        <v>2019</v>
      </c>
      <c r="G18" s="2"/>
      <c r="H18" s="3"/>
      <c r="I18" s="11"/>
      <c r="J18" s="11">
        <v>2022</v>
      </c>
      <c r="K18" s="11">
        <v>2021</v>
      </c>
      <c r="L18" s="11">
        <v>2020</v>
      </c>
      <c r="M18" s="11">
        <v>2019</v>
      </c>
      <c r="N18" s="3"/>
      <c r="O18" s="3"/>
      <c r="P18" s="11"/>
      <c r="Q18" s="11">
        <v>2022</v>
      </c>
      <c r="R18" s="11">
        <v>2021</v>
      </c>
      <c r="S18" s="11">
        <v>2020</v>
      </c>
      <c r="T18" s="11">
        <v>2019</v>
      </c>
      <c r="X18" s="10">
        <v>2022</v>
      </c>
      <c r="Y18" s="10">
        <v>2021</v>
      </c>
      <c r="Z18" s="10">
        <v>2020</v>
      </c>
      <c r="AA18" s="10">
        <v>2019</v>
      </c>
    </row>
    <row r="19" spans="1:27" ht="24.75" customHeight="1">
      <c r="A19" s="12" t="s">
        <v>12</v>
      </c>
      <c r="B19" s="13"/>
      <c r="C19" s="13">
        <v>13902</v>
      </c>
      <c r="D19" s="13">
        <v>10653</v>
      </c>
      <c r="E19" s="13">
        <v>8992</v>
      </c>
      <c r="F19" s="13">
        <v>9497</v>
      </c>
      <c r="G19" s="2"/>
      <c r="H19" s="12" t="s">
        <v>12</v>
      </c>
      <c r="I19" s="14"/>
      <c r="J19" s="15">
        <v>19090</v>
      </c>
      <c r="K19" s="15">
        <v>17760</v>
      </c>
      <c r="L19" s="16">
        <v>18496</v>
      </c>
      <c r="M19" s="17">
        <v>17516</v>
      </c>
      <c r="N19" s="3"/>
      <c r="O19" s="12" t="s">
        <v>12</v>
      </c>
      <c r="P19" s="13"/>
      <c r="Q19" s="13">
        <v>8353</v>
      </c>
      <c r="R19" s="13">
        <v>8159</v>
      </c>
      <c r="S19" s="13">
        <v>7917</v>
      </c>
      <c r="T19" s="13">
        <v>9333</v>
      </c>
      <c r="V19" s="12" t="s">
        <v>12</v>
      </c>
      <c r="X19" s="18">
        <v>56511</v>
      </c>
      <c r="Y19" s="18">
        <v>44949</v>
      </c>
      <c r="Z19" s="19">
        <v>44435</v>
      </c>
      <c r="AA19" s="19">
        <v>44269</v>
      </c>
    </row>
    <row r="20" spans="1:27" ht="27.75" customHeight="1">
      <c r="A20" s="12" t="s">
        <v>13</v>
      </c>
      <c r="B20" s="13"/>
      <c r="C20" s="13">
        <v>77307</v>
      </c>
      <c r="D20" s="13">
        <v>68181</v>
      </c>
      <c r="E20" s="13">
        <v>57221</v>
      </c>
      <c r="F20" s="13">
        <v>55523</v>
      </c>
      <c r="G20" s="2"/>
      <c r="H20" s="12" t="s">
        <v>13</v>
      </c>
      <c r="I20" s="14"/>
      <c r="J20" s="20">
        <v>263926</v>
      </c>
      <c r="K20" s="20">
        <v>235551</v>
      </c>
      <c r="L20" s="17">
        <v>215219</v>
      </c>
      <c r="M20" s="21">
        <v>206912</v>
      </c>
      <c r="N20" s="3"/>
      <c r="O20" s="12" t="s">
        <v>13</v>
      </c>
      <c r="P20" s="13"/>
      <c r="Q20" s="13">
        <v>106428</v>
      </c>
      <c r="R20" s="13">
        <v>106365</v>
      </c>
      <c r="S20" s="13">
        <v>97689</v>
      </c>
      <c r="T20" s="13">
        <v>108828</v>
      </c>
      <c r="V20" s="12" t="s">
        <v>13</v>
      </c>
      <c r="X20" s="13">
        <v>418342</v>
      </c>
      <c r="Y20" s="13">
        <v>409163</v>
      </c>
      <c r="Z20" s="13">
        <v>383618</v>
      </c>
      <c r="AA20" s="13">
        <v>374623</v>
      </c>
    </row>
    <row r="21" spans="1:27" ht="20.25" customHeight="1">
      <c r="A21" s="22" t="s">
        <v>14</v>
      </c>
      <c r="B21" s="23"/>
      <c r="C21" s="3">
        <v>65.637</v>
      </c>
      <c r="D21" s="3">
        <v>57.029000000000003</v>
      </c>
      <c r="E21" s="3">
        <v>57.356999999999999</v>
      </c>
      <c r="F21" s="3">
        <v>62.430999999999997</v>
      </c>
      <c r="G21" s="2"/>
      <c r="H21" s="22" t="s">
        <v>14</v>
      </c>
      <c r="I21" s="3"/>
      <c r="J21" s="24">
        <f t="shared" ref="J21:M21" si="0">J19/J20*365</f>
        <v>26.400771428354918</v>
      </c>
      <c r="K21" s="24">
        <f t="shared" si="0"/>
        <v>27.520154870919676</v>
      </c>
      <c r="L21" s="25">
        <f t="shared" si="0"/>
        <v>31.368234217239184</v>
      </c>
      <c r="M21" s="25">
        <f t="shared" si="0"/>
        <v>30.89883622022889</v>
      </c>
      <c r="N21" s="3"/>
      <c r="O21" s="22" t="s">
        <v>14</v>
      </c>
      <c r="P21" s="3"/>
      <c r="Q21" s="3">
        <v>28.646999999999998</v>
      </c>
      <c r="R21" s="3">
        <v>27.998000000000001</v>
      </c>
      <c r="S21" s="23">
        <v>29.58</v>
      </c>
      <c r="T21" s="26">
        <v>31.302</v>
      </c>
      <c r="V21" s="22" t="s">
        <v>14</v>
      </c>
      <c r="X21" s="27">
        <v>49.305</v>
      </c>
      <c r="Y21" s="28">
        <v>40.097000000000001</v>
      </c>
      <c r="Z21" s="28">
        <v>42.277999999999999</v>
      </c>
      <c r="AA21" s="28">
        <v>43.131</v>
      </c>
    </row>
    <row r="22" spans="1:27" ht="26.25" customHeight="1">
      <c r="A22" s="3"/>
      <c r="B22" s="3"/>
      <c r="C22" s="3"/>
      <c r="D22" s="3"/>
      <c r="E22" s="3"/>
      <c r="F22" s="3"/>
      <c r="G22" s="2"/>
      <c r="H22" s="3"/>
      <c r="I22" s="3"/>
      <c r="J22" s="29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7" ht="24" customHeight="1">
      <c r="A23" s="12" t="s">
        <v>15</v>
      </c>
      <c r="B23" s="13"/>
      <c r="C23" s="13">
        <v>1353</v>
      </c>
      <c r="D23" s="13">
        <v>1135</v>
      </c>
      <c r="E23" s="30">
        <v>962</v>
      </c>
      <c r="F23" s="13">
        <v>1100</v>
      </c>
      <c r="G23" s="2"/>
      <c r="H23" s="12" t="s">
        <v>15</v>
      </c>
      <c r="I23" s="3"/>
      <c r="J23" s="15">
        <v>24054</v>
      </c>
      <c r="K23" s="31">
        <v>21042</v>
      </c>
      <c r="L23" s="32">
        <v>19544</v>
      </c>
      <c r="M23" s="17">
        <v>17236</v>
      </c>
      <c r="N23" s="3"/>
      <c r="O23" s="22" t="s">
        <v>16</v>
      </c>
      <c r="P23" s="33"/>
      <c r="Q23" s="33">
        <v>5017</v>
      </c>
      <c r="R23" s="33">
        <v>5663</v>
      </c>
      <c r="S23" s="33">
        <v>4110</v>
      </c>
      <c r="T23" s="14">
        <v>7226</v>
      </c>
      <c r="V23" s="22" t="s">
        <v>16</v>
      </c>
      <c r="X23" s="13">
        <v>8280</v>
      </c>
      <c r="Y23" s="13">
        <v>6516</v>
      </c>
      <c r="Z23" s="13">
        <v>6284</v>
      </c>
      <c r="AA23" s="13">
        <v>6283</v>
      </c>
    </row>
    <row r="24" spans="1:27" ht="25.5" customHeight="1">
      <c r="A24" s="12" t="s">
        <v>17</v>
      </c>
      <c r="B24" s="30"/>
      <c r="C24" s="30" t="s">
        <v>18</v>
      </c>
      <c r="D24" s="13">
        <v>93561</v>
      </c>
      <c r="E24" s="13">
        <v>78112</v>
      </c>
      <c r="F24" s="13">
        <v>75356</v>
      </c>
      <c r="G24" s="2"/>
      <c r="H24" s="12" t="s">
        <v>17</v>
      </c>
      <c r="I24" s="34"/>
      <c r="J24" s="35">
        <v>322467</v>
      </c>
      <c r="K24" s="36">
        <v>267965</v>
      </c>
      <c r="L24" s="37">
        <v>268706</v>
      </c>
      <c r="M24" s="37">
        <v>256776</v>
      </c>
      <c r="N24" s="3"/>
      <c r="O24" s="12" t="s">
        <v>17</v>
      </c>
      <c r="P24" s="33"/>
      <c r="Q24" s="33">
        <v>132703</v>
      </c>
      <c r="R24" s="33">
        <v>132509</v>
      </c>
      <c r="S24" s="33">
        <v>121982</v>
      </c>
      <c r="T24" s="13">
        <v>136866</v>
      </c>
      <c r="V24" s="12" t="s">
        <v>17</v>
      </c>
      <c r="X24" s="13">
        <v>572754</v>
      </c>
      <c r="Y24" s="13">
        <v>559151</v>
      </c>
      <c r="Z24" s="13">
        <v>523964</v>
      </c>
      <c r="AA24" s="38">
        <v>514405</v>
      </c>
    </row>
    <row r="25" spans="1:27" ht="20.25" customHeight="1">
      <c r="A25" s="22" t="s">
        <v>19</v>
      </c>
      <c r="B25" s="3"/>
      <c r="C25" s="3">
        <v>4.6580000000000004</v>
      </c>
      <c r="D25" s="3">
        <v>4.4269999999999996</v>
      </c>
      <c r="E25" s="3">
        <v>4.4950000000000001</v>
      </c>
      <c r="F25" s="3">
        <v>5.3280000000000003</v>
      </c>
      <c r="G25" s="2"/>
      <c r="H25" s="22" t="s">
        <v>19</v>
      </c>
      <c r="I25" s="3"/>
      <c r="J25" s="24">
        <f t="shared" ref="J25:M25" si="1">J23/J24*365</f>
        <v>27.226692963931193</v>
      </c>
      <c r="K25" s="24">
        <f t="shared" si="1"/>
        <v>28.661690892467298</v>
      </c>
      <c r="L25" s="25">
        <f t="shared" si="1"/>
        <v>26.547825504454682</v>
      </c>
      <c r="M25" s="25">
        <f t="shared" si="1"/>
        <v>24.500498488955355</v>
      </c>
      <c r="N25" s="3"/>
      <c r="O25" s="22" t="s">
        <v>19</v>
      </c>
      <c r="P25" s="3"/>
      <c r="Q25" s="3">
        <v>13.798999999999999</v>
      </c>
      <c r="R25" s="3">
        <v>15.598000000000001</v>
      </c>
      <c r="S25" s="3">
        <v>12.298</v>
      </c>
      <c r="T25" s="23">
        <v>19.27</v>
      </c>
      <c r="V25" s="22" t="s">
        <v>19</v>
      </c>
      <c r="X25" s="28">
        <v>5.2759999999999998</v>
      </c>
      <c r="Y25" s="28">
        <v>4.2530000000000001</v>
      </c>
      <c r="Z25" s="28">
        <v>4.3769999999999998</v>
      </c>
      <c r="AA25" s="28">
        <v>4.4580000000000002</v>
      </c>
    </row>
    <row r="26" spans="1:27" ht="22.5" customHeight="1">
      <c r="A26" s="3"/>
      <c r="B26" s="3"/>
      <c r="C26" s="3"/>
      <c r="D26" s="3"/>
      <c r="E26" s="3"/>
      <c r="F26" s="3"/>
      <c r="G26" s="2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7" ht="24.75" customHeight="1">
      <c r="A27" s="12" t="s">
        <v>20</v>
      </c>
      <c r="B27" s="13"/>
      <c r="C27" s="30">
        <v>15478</v>
      </c>
      <c r="D27" s="30">
        <v>12859</v>
      </c>
      <c r="E27" s="3">
        <v>9920</v>
      </c>
      <c r="F27" s="14">
        <v>9761</v>
      </c>
      <c r="G27" s="2"/>
      <c r="H27" s="12" t="s">
        <v>21</v>
      </c>
      <c r="I27" s="34"/>
      <c r="J27" s="39">
        <v>14838</v>
      </c>
      <c r="K27" s="39">
        <v>12544</v>
      </c>
      <c r="L27" s="40">
        <v>11138</v>
      </c>
      <c r="M27" s="41">
        <v>10492</v>
      </c>
      <c r="N27" s="3"/>
      <c r="O27" s="12" t="s">
        <v>21</v>
      </c>
      <c r="P27" s="14"/>
      <c r="Q27" s="14">
        <v>11255</v>
      </c>
      <c r="R27" s="14">
        <v>11136</v>
      </c>
      <c r="S27" s="14">
        <v>10145</v>
      </c>
      <c r="T27" s="14">
        <v>14341</v>
      </c>
      <c r="V27" s="12" t="s">
        <v>21</v>
      </c>
      <c r="X27" s="13">
        <v>55261</v>
      </c>
      <c r="Y27" s="13">
        <v>49141</v>
      </c>
      <c r="Z27" s="18">
        <v>46973</v>
      </c>
      <c r="AA27" s="18">
        <v>47060</v>
      </c>
    </row>
    <row r="28" spans="1:27" ht="22.5" customHeight="1">
      <c r="A28" s="12" t="s">
        <v>13</v>
      </c>
      <c r="B28" s="13"/>
      <c r="C28" s="13">
        <v>77307</v>
      </c>
      <c r="D28" s="13">
        <v>68181</v>
      </c>
      <c r="E28" s="14">
        <v>57221</v>
      </c>
      <c r="F28" s="14">
        <v>55523</v>
      </c>
      <c r="G28" s="2"/>
      <c r="H28" s="12" t="s">
        <v>13</v>
      </c>
      <c r="I28" s="14"/>
      <c r="J28" s="15">
        <v>263926</v>
      </c>
      <c r="K28" s="15">
        <v>235551</v>
      </c>
      <c r="L28" s="16">
        <v>215219</v>
      </c>
      <c r="M28" s="17">
        <v>206912</v>
      </c>
      <c r="N28" s="3"/>
      <c r="O28" s="12" t="s">
        <v>13</v>
      </c>
      <c r="P28" s="13"/>
      <c r="Q28" s="13">
        <v>106428</v>
      </c>
      <c r="R28" s="13">
        <v>106365</v>
      </c>
      <c r="S28" s="13">
        <v>97689</v>
      </c>
      <c r="T28" s="13">
        <v>108828</v>
      </c>
      <c r="V28" s="12" t="s">
        <v>13</v>
      </c>
      <c r="X28" s="13">
        <v>418342</v>
      </c>
      <c r="Y28" s="13">
        <v>409163</v>
      </c>
      <c r="Z28" s="13">
        <v>383618</v>
      </c>
      <c r="AA28" s="13">
        <v>374623</v>
      </c>
    </row>
    <row r="29" spans="1:27" ht="26.25" customHeight="1">
      <c r="A29" s="12" t="s">
        <v>22</v>
      </c>
      <c r="B29" s="30"/>
      <c r="C29" s="42">
        <v>211.8</v>
      </c>
      <c r="D29" s="3">
        <v>186.797</v>
      </c>
      <c r="E29" s="23">
        <v>156.77000000000001</v>
      </c>
      <c r="F29" s="3">
        <v>152.11799999999999</v>
      </c>
      <c r="G29" s="2"/>
      <c r="H29" s="12" t="s">
        <v>22</v>
      </c>
      <c r="I29" s="3"/>
      <c r="J29" s="43">
        <f t="shared" ref="J29:M29" si="2">J28/365</f>
        <v>723.08493150684933</v>
      </c>
      <c r="K29" s="43">
        <f t="shared" si="2"/>
        <v>645.34520547945203</v>
      </c>
      <c r="L29" s="44">
        <f t="shared" si="2"/>
        <v>589.64109589041095</v>
      </c>
      <c r="M29" s="44">
        <f t="shared" si="2"/>
        <v>566.88219178082193</v>
      </c>
      <c r="N29" s="3"/>
      <c r="O29" s="12" t="s">
        <v>22</v>
      </c>
      <c r="P29" s="3"/>
      <c r="Q29" s="3">
        <v>291.58300000000003</v>
      </c>
      <c r="R29" s="3">
        <v>291.41000000000003</v>
      </c>
      <c r="S29" s="3">
        <v>267.64100000000002</v>
      </c>
      <c r="T29" s="3">
        <v>298.15800000000002</v>
      </c>
      <c r="V29" s="12" t="s">
        <v>22</v>
      </c>
      <c r="X29" s="27">
        <v>1146.1420000000001</v>
      </c>
      <c r="Y29" s="27">
        <v>1120.99</v>
      </c>
      <c r="Z29" s="45">
        <v>1051</v>
      </c>
      <c r="AA29" s="27">
        <v>1026.3599999999999</v>
      </c>
    </row>
    <row r="30" spans="1:27" ht="20.25" customHeight="1">
      <c r="A30" s="22" t="s">
        <v>23</v>
      </c>
      <c r="B30" s="3"/>
      <c r="C30" s="3">
        <v>73.072999999999993</v>
      </c>
      <c r="D30" s="3">
        <v>68.838999999999999</v>
      </c>
      <c r="E30" s="3">
        <v>63.277000000000001</v>
      </c>
      <c r="F30" s="3">
        <v>64.167000000000002</v>
      </c>
      <c r="G30" s="2"/>
      <c r="H30" s="22" t="s">
        <v>23</v>
      </c>
      <c r="I30" s="3"/>
      <c r="J30" s="24">
        <f t="shared" ref="J30:M30" si="3">J27/J29</f>
        <v>20.520411024302266</v>
      </c>
      <c r="K30" s="24">
        <f t="shared" si="3"/>
        <v>19.437658935856778</v>
      </c>
      <c r="L30" s="25">
        <f t="shared" si="3"/>
        <v>18.889456785878572</v>
      </c>
      <c r="M30" s="25">
        <f t="shared" si="3"/>
        <v>18.508254716981131</v>
      </c>
      <c r="N30" s="3"/>
      <c r="O30" s="22" t="s">
        <v>23</v>
      </c>
      <c r="P30" s="3"/>
      <c r="Q30" s="3">
        <v>38.598999999999997</v>
      </c>
      <c r="R30" s="3">
        <v>38.213999999999999</v>
      </c>
      <c r="S30" s="3">
        <v>37.905000000000001</v>
      </c>
      <c r="T30" s="3">
        <v>48.097999999999999</v>
      </c>
      <c r="V30" s="22" t="s">
        <v>23</v>
      </c>
      <c r="X30" s="28">
        <v>48.213999999999999</v>
      </c>
      <c r="Y30" s="28">
        <v>43.835999999999999</v>
      </c>
      <c r="Z30" s="28">
        <v>44.692999999999998</v>
      </c>
      <c r="AA30" s="28">
        <v>45.850999999999999</v>
      </c>
    </row>
    <row r="31" spans="1:27" ht="33" customHeight="1">
      <c r="A31" s="3"/>
      <c r="B31" s="3"/>
      <c r="C31" s="3"/>
      <c r="D31" s="3"/>
      <c r="E31" s="3"/>
      <c r="F31" s="3"/>
      <c r="G31" s="47"/>
      <c r="H31" s="3"/>
      <c r="I31" s="3"/>
      <c r="J31" s="3"/>
      <c r="K31" s="3"/>
      <c r="L31" s="3"/>
      <c r="M31" s="3"/>
      <c r="N31" s="47"/>
      <c r="O31" s="3"/>
      <c r="P31" s="3"/>
      <c r="Q31" s="3"/>
      <c r="R31" s="3"/>
      <c r="S31" s="3"/>
      <c r="T31" s="3"/>
      <c r="U31" s="48"/>
    </row>
    <row r="32" spans="1:27" ht="15.6">
      <c r="A32" s="46" t="s">
        <v>24</v>
      </c>
      <c r="B32" s="47"/>
      <c r="C32" s="47">
        <v>-2.778</v>
      </c>
      <c r="D32" s="47">
        <v>-7.383</v>
      </c>
      <c r="E32" s="47">
        <v>-1.425</v>
      </c>
      <c r="F32" s="47">
        <v>3.5920000000000001</v>
      </c>
      <c r="G32" s="2"/>
      <c r="H32" s="46" t="s">
        <v>25</v>
      </c>
      <c r="I32" s="47"/>
      <c r="J32" s="47">
        <v>33.106999999999999</v>
      </c>
      <c r="K32" s="47">
        <v>36.744</v>
      </c>
      <c r="L32" s="47">
        <v>39.027000000000001</v>
      </c>
      <c r="M32" s="47">
        <v>36.890999999999998</v>
      </c>
      <c r="N32" s="3"/>
      <c r="O32" s="46" t="s">
        <v>25</v>
      </c>
      <c r="P32" s="47"/>
      <c r="Q32" s="47">
        <v>3.847</v>
      </c>
      <c r="R32" s="47">
        <v>5.3819999999999997</v>
      </c>
      <c r="S32" s="47">
        <v>3.9729999999999999</v>
      </c>
      <c r="T32" s="47">
        <v>2.4740000000000002</v>
      </c>
      <c r="V32" s="49" t="s">
        <v>25</v>
      </c>
      <c r="W32" s="48"/>
      <c r="X32" s="50">
        <v>6.367</v>
      </c>
      <c r="Y32" s="50">
        <v>0.51400000000000001</v>
      </c>
      <c r="Z32" s="48">
        <v>1.9630000000000001</v>
      </c>
      <c r="AA32" s="48">
        <v>1.738</v>
      </c>
    </row>
    <row r="33" spans="1:17" ht="15.75" customHeight="1">
      <c r="A33" s="3"/>
      <c r="B33" s="3"/>
      <c r="C33" s="3"/>
      <c r="D33" s="3"/>
      <c r="E33" s="3"/>
      <c r="F33" s="3"/>
      <c r="H33" s="3"/>
      <c r="I33" s="3"/>
      <c r="J33" s="3"/>
      <c r="K33" s="3"/>
      <c r="L33" s="3"/>
      <c r="M33" s="3"/>
    </row>
    <row r="35" spans="1:17" ht="13.2">
      <c r="C35" s="51"/>
      <c r="D35" s="51"/>
      <c r="E35" s="52"/>
      <c r="F35" s="51"/>
      <c r="G35" s="51"/>
      <c r="H35" s="51"/>
      <c r="L35" s="53"/>
      <c r="M35" s="53"/>
      <c r="N35" s="53"/>
      <c r="O35" s="53"/>
      <c r="P35" s="53"/>
      <c r="Q35" s="53"/>
    </row>
  </sheetData>
  <mergeCells count="2">
    <mergeCell ref="A2:C2"/>
    <mergeCell ref="D2:F2"/>
  </mergeCells>
  <phoneticPr fontId="22" type="noConversion"/>
  <hyperlinks>
    <hyperlink ref="A11" r:id="rId1" xr:uid="{00000000-0004-0000-0000-000000000000}"/>
  </hyperlinks>
  <pageMargins left="0.7" right="0.7" top="0.75" bottom="0.75" header="0.3" footer="0.3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shweta prasad</cp:lastModifiedBy>
  <dcterms:modified xsi:type="dcterms:W3CDTF">2025-04-02T14:15:40Z</dcterms:modified>
</cp:coreProperties>
</file>